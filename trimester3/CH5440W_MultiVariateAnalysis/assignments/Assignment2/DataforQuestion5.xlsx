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\CH5440\CH5440W\Assignment2\LDA_Data\"/>
    </mc:Choice>
  </mc:AlternateContent>
  <xr:revisionPtr revIDLastSave="0" documentId="8_{14B4822D-C831-4D2D-AA51-E68765FD8EAD}" xr6:coauthVersionLast="47" xr6:coauthVersionMax="47" xr10:uidLastSave="{00000000-0000-0000-0000-000000000000}"/>
  <bookViews>
    <workbookView xWindow="-108" yWindow="-108" windowWidth="23256" windowHeight="12456" xr2:uid="{490643FF-998F-4242-BD1D-61B1AA37E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6" i="1"/>
  <c r="I7" i="1"/>
  <c r="I8" i="1"/>
  <c r="I9" i="1"/>
  <c r="I10" i="1"/>
  <c r="I11" i="1"/>
  <c r="I12" i="1"/>
  <c r="D5" i="1"/>
  <c r="D6" i="1"/>
  <c r="D7" i="1"/>
  <c r="D9" i="1"/>
  <c r="D11" i="1"/>
  <c r="D12" i="1"/>
  <c r="D14" i="1"/>
  <c r="D15" i="1"/>
  <c r="D17" i="1"/>
  <c r="D18" i="1"/>
  <c r="D20" i="1"/>
  <c r="D21" i="1"/>
  <c r="D22" i="1"/>
  <c r="D24" i="1"/>
  <c r="D25" i="1"/>
  <c r="D28" i="1"/>
  <c r="D30" i="1"/>
  <c r="D31" i="1"/>
  <c r="D32" i="1"/>
  <c r="D34" i="1"/>
  <c r="D37" i="1"/>
  <c r="D46" i="1"/>
  <c r="A4" i="1"/>
  <c r="A5" i="1"/>
  <c r="A6" i="1"/>
  <c r="A10" i="1"/>
  <c r="A12" i="1"/>
  <c r="A13" i="1"/>
  <c r="A14" i="1"/>
  <c r="A16" i="1"/>
  <c r="A18" i="1"/>
  <c r="A20" i="1"/>
  <c r="A21" i="1"/>
  <c r="A23" i="1"/>
  <c r="A24" i="1"/>
  <c r="A26" i="1"/>
  <c r="A27" i="1"/>
  <c r="A28" i="1"/>
  <c r="A30" i="1"/>
  <c r="A31" i="1"/>
  <c r="A32" i="1"/>
  <c r="A33" i="1"/>
</calcChain>
</file>

<file path=xl/sharedStrings.xml><?xml version="1.0" encoding="utf-8"?>
<sst xmlns="http://schemas.openxmlformats.org/spreadsheetml/2006/main" count="14" uniqueCount="8">
  <si>
    <t>Group 1</t>
  </si>
  <si>
    <t>F1</t>
  </si>
  <si>
    <t>F2</t>
  </si>
  <si>
    <t>Group 2</t>
  </si>
  <si>
    <t>Training</t>
  </si>
  <si>
    <t>Data</t>
  </si>
  <si>
    <t>Set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</si>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</sst>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indent="3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4A31-6507-4B9B-97F4-876F7C1F3F59}">
  <dimension ref="A1:K48"/>
  <sheetViews>
    <sheetView tabSelected="1" workbookViewId="0">
      <selection activeCell="I2" sqref="I2:J2"/>
    </sheetView>
  </sheetViews>
  <sheetFormatPr defaultRowHeight="14.4" x14ac:dyDescent="0.3"/>
  <cols>
    <col min="1" max="1" width="12.33203125" customWidth="1"/>
    <col min="4" max="4" width="11.44140625" customWidth="1"/>
    <col min="9" max="9" width="10.6640625" customWidth="1"/>
  </cols>
  <sheetData>
    <row r="1" spans="1:11" x14ac:dyDescent="0.3">
      <c r="B1" s="3" t="s">
        <v>4</v>
      </c>
      <c r="C1" s="3" t="s">
        <v>5</v>
      </c>
      <c r="D1" s="3" t="s">
        <v>6</v>
      </c>
      <c r="I1" s="3" t="s">
        <v>7</v>
      </c>
      <c r="J1" s="3" t="s">
        <v>5</v>
      </c>
      <c r="K1" s="3" t="s">
        <v>6</v>
      </c>
    </row>
    <row r="2" spans="1:11" x14ac:dyDescent="0.3">
      <c r="A2" s="2" t="s">
        <v>0</v>
      </c>
      <c r="D2" s="2" t="s">
        <v>3</v>
      </c>
      <c r="I2" s="3" t="s">
        <v>1</v>
      </c>
      <c r="J2" s="3" t="s">
        <v>2</v>
      </c>
    </row>
    <row r="3" spans="1:11" x14ac:dyDescent="0.3">
      <c r="A3" s="2" t="s">
        <v>1</v>
      </c>
      <c r="B3" s="2" t="s">
        <v>2</v>
      </c>
      <c r="D3" s="2" t="s">
        <v>1</v>
      </c>
      <c r="E3" s="2" t="s">
        <v>2</v>
      </c>
      <c r="I3" s="1">
        <f>-0.112</f>
        <v>-0.112</v>
      </c>
      <c r="J3">
        <v>-0.27900000000000003</v>
      </c>
    </row>
    <row r="4" spans="1:11" x14ac:dyDescent="0.3">
      <c r="A4" s="1">
        <f>-0.0056</f>
        <v>-5.5999999999999999E-3</v>
      </c>
      <c r="B4">
        <v>-0.16569999999999999</v>
      </c>
      <c r="D4" s="1">
        <v>-0.3478</v>
      </c>
      <c r="E4">
        <v>0.11509999999999999</v>
      </c>
      <c r="I4" s="1">
        <f>-0.059</f>
        <v>-5.8999999999999997E-2</v>
      </c>
      <c r="J4">
        <v>-6.8000000000000005E-2</v>
      </c>
    </row>
    <row r="5" spans="1:11" x14ac:dyDescent="0.3">
      <c r="A5" s="1">
        <f>-0.1698</f>
        <v>-0.16980000000000001</v>
      </c>
      <c r="B5">
        <v>-0.1585</v>
      </c>
      <c r="D5" s="1">
        <f>-0.3618</f>
        <v>-0.36180000000000001</v>
      </c>
      <c r="E5">
        <v>-0.20080000000000001</v>
      </c>
      <c r="I5" s="1">
        <v>6.4000000000000001E-2</v>
      </c>
      <c r="J5">
        <v>1.2E-2</v>
      </c>
    </row>
    <row r="6" spans="1:11" x14ac:dyDescent="0.3">
      <c r="A6" s="1">
        <f>-0.3469</f>
        <v>-0.34689999999999999</v>
      </c>
      <c r="B6">
        <v>-0.18790000000000001</v>
      </c>
      <c r="D6" s="1">
        <f>-0.4986</f>
        <v>-0.49859999999999999</v>
      </c>
      <c r="E6">
        <v>-8.5999999999999993E-2</v>
      </c>
      <c r="I6" s="1">
        <f>-0.043</f>
        <v>-4.2999999999999997E-2</v>
      </c>
      <c r="J6">
        <v>-5.1999999999999998E-2</v>
      </c>
    </row>
    <row r="7" spans="1:11" x14ac:dyDescent="0.3">
      <c r="A7" s="1">
        <v>-8.9399999999999993E-2</v>
      </c>
      <c r="B7">
        <v>6.4000000000000003E-3</v>
      </c>
      <c r="D7" s="1">
        <f>-0.5015</f>
        <v>-0.50149999999999995</v>
      </c>
      <c r="E7">
        <v>-0.2984</v>
      </c>
      <c r="I7" s="1">
        <f>-0.05</f>
        <v>-0.05</v>
      </c>
      <c r="J7">
        <v>-9.8000000000000004E-2</v>
      </c>
    </row>
    <row r="8" spans="1:11" x14ac:dyDescent="0.3">
      <c r="A8" s="1">
        <v>-0.16789999999999999</v>
      </c>
      <c r="B8">
        <v>7.1300000000000002E-2</v>
      </c>
      <c r="D8" s="1">
        <v>-0.1326</v>
      </c>
      <c r="E8">
        <v>9.7000000000000003E-3</v>
      </c>
      <c r="I8" s="1">
        <f>-0.094</f>
        <v>-9.4E-2</v>
      </c>
      <c r="J8">
        <v>-0.113</v>
      </c>
    </row>
    <row r="9" spans="1:11" x14ac:dyDescent="0.3">
      <c r="A9" s="1">
        <v>-8.3599999999999994E-2</v>
      </c>
      <c r="B9">
        <v>1.06E-2</v>
      </c>
      <c r="D9" s="1">
        <f>-0.6911</f>
        <v>-0.69110000000000005</v>
      </c>
      <c r="E9">
        <v>-0.33900000000000002</v>
      </c>
      <c r="I9" s="1">
        <f>-0.123</f>
        <v>-0.123</v>
      </c>
      <c r="J9">
        <v>-0.14299999999999999</v>
      </c>
    </row>
    <row r="10" spans="1:11" x14ac:dyDescent="0.3">
      <c r="A10" s="1">
        <f>-0.1979</f>
        <v>-0.19789999999999999</v>
      </c>
      <c r="B10">
        <v>-5.0000000000000001E-4</v>
      </c>
      <c r="D10" s="1">
        <v>-0.36080000000000001</v>
      </c>
      <c r="E10">
        <v>0.1237</v>
      </c>
      <c r="I10" s="1">
        <f>-0.011</f>
        <v>-1.0999999999999999E-2</v>
      </c>
      <c r="J10">
        <v>-3.6999999999999998E-2</v>
      </c>
    </row>
    <row r="11" spans="1:11" x14ac:dyDescent="0.3">
      <c r="A11" s="1">
        <v>-7.6200000000000004E-2</v>
      </c>
      <c r="B11">
        <v>3.9199999999999999E-2</v>
      </c>
      <c r="D11" s="1">
        <f>-0.4535</f>
        <v>-0.45350000000000001</v>
      </c>
      <c r="E11">
        <v>-0.16819999999999999</v>
      </c>
      <c r="I11" s="1">
        <f>-0.21</f>
        <v>-0.21</v>
      </c>
      <c r="J11">
        <v>-0.09</v>
      </c>
    </row>
    <row r="12" spans="1:11" x14ac:dyDescent="0.3">
      <c r="A12" s="1">
        <f>-0.1913</f>
        <v>-0.1913</v>
      </c>
      <c r="B12">
        <v>-0.21229999999999999</v>
      </c>
      <c r="D12" s="1">
        <f>-0.3479</f>
        <v>-0.34789999999999999</v>
      </c>
      <c r="E12">
        <v>-0.1721</v>
      </c>
      <c r="I12" s="1">
        <f>-0.126</f>
        <v>-0.126</v>
      </c>
      <c r="J12">
        <v>-1.9E-2</v>
      </c>
    </row>
    <row r="13" spans="1:11" x14ac:dyDescent="0.3">
      <c r="A13" s="1">
        <f>-0.1092</f>
        <v>-0.10920000000000001</v>
      </c>
      <c r="B13">
        <v>-0.11899999999999999</v>
      </c>
      <c r="D13" s="1">
        <v>-0.35389999999999999</v>
      </c>
      <c r="E13">
        <v>7.22E-2</v>
      </c>
    </row>
    <row r="14" spans="1:11" x14ac:dyDescent="0.3">
      <c r="A14" s="1">
        <f>-0.5268</f>
        <v>-0.52680000000000005</v>
      </c>
      <c r="B14">
        <v>-0.4773</v>
      </c>
      <c r="D14" s="1">
        <f>-0.4719</f>
        <v>-0.47189999999999999</v>
      </c>
      <c r="E14">
        <v>-0.1079</v>
      </c>
    </row>
    <row r="15" spans="1:11" x14ac:dyDescent="0.3">
      <c r="A15" s="1">
        <v>-8.4199999999999997E-2</v>
      </c>
      <c r="B15">
        <v>2.4799999999999999E-2</v>
      </c>
      <c r="D15" s="1">
        <f>-0.361</f>
        <v>-0.36099999999999999</v>
      </c>
      <c r="E15">
        <v>-3.9899999999999998E-2</v>
      </c>
    </row>
    <row r="16" spans="1:11" x14ac:dyDescent="0.3">
      <c r="A16" s="1">
        <f>-0.0225</f>
        <v>-2.2499999999999999E-2</v>
      </c>
      <c r="B16">
        <v>-5.8000000000000003E-2</v>
      </c>
      <c r="D16" s="1">
        <v>-0.3226</v>
      </c>
      <c r="E16">
        <v>0.16700000000000001</v>
      </c>
    </row>
    <row r="17" spans="1:5" x14ac:dyDescent="0.3">
      <c r="A17" s="1">
        <v>8.3999999999999995E-3</v>
      </c>
      <c r="B17">
        <v>7.8200000000000006E-2</v>
      </c>
      <c r="D17" s="1">
        <f>-0.4319</f>
        <v>-0.43190000000000001</v>
      </c>
      <c r="E17">
        <v>-6.8699999999999997E-2</v>
      </c>
    </row>
    <row r="18" spans="1:5" x14ac:dyDescent="0.3">
      <c r="A18" s="1">
        <f>-0.1827</f>
        <v>-0.1827</v>
      </c>
      <c r="B18">
        <v>-0.1138</v>
      </c>
      <c r="D18" s="1">
        <f>-0.2734</f>
        <v>-0.27339999999999998</v>
      </c>
      <c r="E18">
        <v>-2E-3</v>
      </c>
    </row>
    <row r="19" spans="1:5" x14ac:dyDescent="0.3">
      <c r="A19" s="1">
        <v>0.1237</v>
      </c>
      <c r="B19">
        <v>0.214</v>
      </c>
      <c r="D19" s="1">
        <v>-0.55730000000000002</v>
      </c>
      <c r="E19">
        <v>5.4800000000000001E-2</v>
      </c>
    </row>
    <row r="20" spans="1:5" x14ac:dyDescent="0.3">
      <c r="A20" s="1">
        <f>-0.4702</f>
        <v>-0.47020000000000001</v>
      </c>
      <c r="B20">
        <v>-0.30990000000000001</v>
      </c>
      <c r="D20" s="1">
        <f>-0.3755</f>
        <v>-0.3755</v>
      </c>
      <c r="E20">
        <v>-0.1865</v>
      </c>
    </row>
    <row r="21" spans="1:5" x14ac:dyDescent="0.3">
      <c r="A21" s="1">
        <f>-0.1519</f>
        <v>-0.15190000000000001</v>
      </c>
      <c r="B21">
        <v>-6.8599999999999994E-2</v>
      </c>
      <c r="D21" s="1">
        <f>-0.495</f>
        <v>-0.495</v>
      </c>
      <c r="E21">
        <v>-1.5299999999999999E-2</v>
      </c>
    </row>
    <row r="22" spans="1:5" x14ac:dyDescent="0.3">
      <c r="A22" s="1">
        <v>5.9999999999999995E-4</v>
      </c>
      <c r="B22">
        <v>-0.1153</v>
      </c>
      <c r="D22" s="1">
        <f>-0.5107</f>
        <v>-0.51070000000000004</v>
      </c>
      <c r="E22">
        <v>-0.24829999999999999</v>
      </c>
    </row>
    <row r="23" spans="1:5" x14ac:dyDescent="0.3">
      <c r="A23" s="1">
        <f>-0.2015</f>
        <v>-0.20150000000000001</v>
      </c>
      <c r="B23">
        <v>-4.9799999999999997E-2</v>
      </c>
      <c r="D23" s="1">
        <v>-0.16520000000000001</v>
      </c>
      <c r="E23">
        <v>0.2132</v>
      </c>
    </row>
    <row r="24" spans="1:5" x14ac:dyDescent="0.3">
      <c r="A24" s="1">
        <f>-0.1932</f>
        <v>-0.19320000000000001</v>
      </c>
      <c r="B24">
        <v>-0.2293</v>
      </c>
      <c r="D24" s="1">
        <f>-0.2447</f>
        <v>-0.2447</v>
      </c>
      <c r="E24">
        <v>-4.07E-2</v>
      </c>
    </row>
    <row r="25" spans="1:5" x14ac:dyDescent="0.3">
      <c r="A25" s="1">
        <v>0.1507</v>
      </c>
      <c r="B25">
        <v>9.3299999999999994E-2</v>
      </c>
      <c r="D25" s="1">
        <f>-0.4232</f>
        <v>-0.42320000000000002</v>
      </c>
      <c r="E25">
        <v>-9.98E-2</v>
      </c>
    </row>
    <row r="26" spans="1:5" x14ac:dyDescent="0.3">
      <c r="A26" s="1">
        <f>-0.1259</f>
        <v>-0.12590000000000001</v>
      </c>
      <c r="B26">
        <v>-6.6900000000000001E-2</v>
      </c>
      <c r="D26" s="1">
        <v>-0.23749999999999999</v>
      </c>
      <c r="E26">
        <v>0.28760000000000002</v>
      </c>
    </row>
    <row r="27" spans="1:5" x14ac:dyDescent="0.3">
      <c r="A27" s="1">
        <f>-0.1551</f>
        <v>-0.15509999999999999</v>
      </c>
      <c r="B27">
        <v>-0.1232</v>
      </c>
      <c r="D27" s="1">
        <v>-0.2205</v>
      </c>
      <c r="E27">
        <v>4.5999999999999999E-3</v>
      </c>
    </row>
    <row r="28" spans="1:5" x14ac:dyDescent="0.3">
      <c r="A28" s="1">
        <f>-0.1952</f>
        <v>-0.19520000000000001</v>
      </c>
      <c r="B28">
        <v>-0.1007</v>
      </c>
      <c r="D28" s="1">
        <f>-0.2154</f>
        <v>-0.21540000000000001</v>
      </c>
      <c r="E28">
        <v>-2.1899999999999999E-2</v>
      </c>
    </row>
    <row r="29" spans="1:5" x14ac:dyDescent="0.3">
      <c r="A29" s="1">
        <v>2.9100000000000001E-2</v>
      </c>
      <c r="B29">
        <v>4.4200000000000003E-2</v>
      </c>
      <c r="D29" s="1">
        <v>-0.34470000000000001</v>
      </c>
      <c r="E29">
        <v>9.7000000000000003E-3</v>
      </c>
    </row>
    <row r="30" spans="1:5" x14ac:dyDescent="0.3">
      <c r="A30" s="1">
        <f>-0.228</f>
        <v>-0.22800000000000001</v>
      </c>
      <c r="B30">
        <v>-0.17100000000000001</v>
      </c>
      <c r="D30" s="1">
        <f>-0.254</f>
        <v>-0.254</v>
      </c>
      <c r="E30">
        <v>-5.7299999999999997E-2</v>
      </c>
    </row>
    <row r="31" spans="1:5" x14ac:dyDescent="0.3">
      <c r="A31" s="1">
        <f>-0.0997</f>
        <v>-9.9699999999999997E-2</v>
      </c>
      <c r="B31">
        <v>-7.3300000000000004E-2</v>
      </c>
      <c r="D31" s="1">
        <f>-0.3778</f>
        <v>-0.37780000000000002</v>
      </c>
      <c r="E31">
        <v>-0.26819999999999999</v>
      </c>
    </row>
    <row r="32" spans="1:5" x14ac:dyDescent="0.3">
      <c r="A32" s="1">
        <f>-0.1972</f>
        <v>-0.19719999999999999</v>
      </c>
      <c r="B32">
        <v>-6.0699999999999997E-2</v>
      </c>
      <c r="D32" s="1">
        <f>-0.4046</f>
        <v>-0.40460000000000002</v>
      </c>
      <c r="E32">
        <v>-0.1162</v>
      </c>
    </row>
    <row r="33" spans="1:5" x14ac:dyDescent="0.3">
      <c r="A33" s="1">
        <f>-0.0867</f>
        <v>-8.6699999999999999E-2</v>
      </c>
      <c r="B33">
        <v>-5.6000000000000001E-2</v>
      </c>
      <c r="D33" s="1">
        <v>-6.3899999999999998E-2</v>
      </c>
      <c r="E33">
        <v>0.15690000000000001</v>
      </c>
    </row>
    <row r="34" spans="1:5" x14ac:dyDescent="0.3">
      <c r="D34" s="1">
        <f>-0.3351</f>
        <v>-0.33510000000000001</v>
      </c>
      <c r="E34">
        <v>-0.1368</v>
      </c>
    </row>
    <row r="35" spans="1:5" x14ac:dyDescent="0.3">
      <c r="D35" s="1">
        <v>-1.49E-2</v>
      </c>
      <c r="E35">
        <v>0.15390000000000001</v>
      </c>
    </row>
    <row r="36" spans="1:5" x14ac:dyDescent="0.3">
      <c r="D36" s="1">
        <v>-3.1199999999999999E-2</v>
      </c>
      <c r="E36">
        <v>0.14000000000000001</v>
      </c>
    </row>
    <row r="37" spans="1:5" x14ac:dyDescent="0.3">
      <c r="D37" s="1">
        <f>-0.174</f>
        <v>-0.17399999999999999</v>
      </c>
      <c r="E37">
        <v>-7.7600000000000002E-2</v>
      </c>
    </row>
    <row r="38" spans="1:5" x14ac:dyDescent="0.3">
      <c r="D38" s="1">
        <v>-0.1416</v>
      </c>
      <c r="E38">
        <v>0.16420000000000001</v>
      </c>
    </row>
    <row r="39" spans="1:5" x14ac:dyDescent="0.3">
      <c r="D39" s="1">
        <v>-0.15079999999999999</v>
      </c>
      <c r="E39">
        <v>0.1137</v>
      </c>
    </row>
    <row r="40" spans="1:5" x14ac:dyDescent="0.3">
      <c r="D40" s="1">
        <v>-9.64E-2</v>
      </c>
      <c r="E40">
        <v>5.3100000000000001E-2</v>
      </c>
    </row>
    <row r="41" spans="1:5" x14ac:dyDescent="0.3">
      <c r="D41" s="1">
        <v>-0.26419999999999999</v>
      </c>
      <c r="E41">
        <v>8.6699999999999999E-2</v>
      </c>
    </row>
    <row r="42" spans="1:5" x14ac:dyDescent="0.3">
      <c r="D42" s="1">
        <v>-2.3400000000000001E-2</v>
      </c>
      <c r="E42">
        <v>8.0399999999999999E-2</v>
      </c>
    </row>
    <row r="43" spans="1:5" x14ac:dyDescent="0.3">
      <c r="D43" s="1">
        <v>-0.3352</v>
      </c>
      <c r="E43">
        <v>8.7499999999999994E-2</v>
      </c>
    </row>
    <row r="44" spans="1:5" x14ac:dyDescent="0.3">
      <c r="D44" s="1">
        <v>-0.18779999999999999</v>
      </c>
      <c r="E44">
        <v>0.251</v>
      </c>
    </row>
    <row r="45" spans="1:5" x14ac:dyDescent="0.3">
      <c r="D45" s="1">
        <v>-0.1744</v>
      </c>
      <c r="E45">
        <v>0.18920000000000001</v>
      </c>
    </row>
    <row r="46" spans="1:5" x14ac:dyDescent="0.3">
      <c r="D46" s="1">
        <f>-0.4055</f>
        <v>-0.40550000000000003</v>
      </c>
      <c r="E46">
        <v>-0.24179999999999999</v>
      </c>
    </row>
    <row r="47" spans="1:5" x14ac:dyDescent="0.3">
      <c r="D47" s="1">
        <v>-0.24440000000000001</v>
      </c>
      <c r="E47">
        <v>0.16139999999999999</v>
      </c>
    </row>
    <row r="48" spans="1:5" x14ac:dyDescent="0.3">
      <c r="D48" s="1">
        <v>-0.47839999999999999</v>
      </c>
      <c r="E48">
        <v>2.8199999999999999E-2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 A</dc:creator>
  <cp:lastModifiedBy>Kannan A</cp:lastModifiedBy>
  <dcterms:created xsi:type="dcterms:W3CDTF">2026-08-10T09:22:17Z</dcterms:created>
  <dcterms:modified xsi:type="dcterms:W3CDTF">2026-08-10T09:30:03Z</dcterms:modified>
</cp:coreProperties>
</file>